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arcelo alba\Downloads\Teste\"/>
    </mc:Choice>
  </mc:AlternateContent>
  <xr:revisionPtr revIDLastSave="0" documentId="13_ncr:1_{D1E0DF46-EAA6-4737-8507-6CFED249E45D}" xr6:coauthVersionLast="47" xr6:coauthVersionMax="47" xr10:uidLastSave="{00000000-0000-0000-0000-000000000000}"/>
  <workbookProtection workbookAlgorithmName="SHA-512" workbookHashValue="Fw3z0brZ2zc2Q9ZUJtj0MDtB8g4y2gFE7/L/Mzc6rhCSyJ+/AHs0RXpWqQW2zfe1bUBnr/BX/XCiRRKfywVrnQ==" workbookSaltValue="MXxLvcziMvRZC9zOXcXsJQ==" workbookSpinCount="100000" lockStructure="1"/>
  <bookViews>
    <workbookView xWindow="-108" yWindow="-108" windowWidth="23256" windowHeight="12456" xr2:uid="{61B4B000-54BB-4EDA-A1BF-3B8B0F9D8186}"/>
  </bookViews>
  <sheets>
    <sheet name="Planilha1" sheetId="1" r:id="rId1"/>
  </sheets>
  <definedNames>
    <definedName name="_xleta.SUM" hidden="1" xlm="1">#NAME?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AA3" i="1"/>
  <c r="AH3" i="1"/>
  <c r="S4" i="1"/>
  <c r="AA4" i="1"/>
  <c r="AH4" i="1"/>
  <c r="J3" i="1"/>
  <c r="AG5" i="1" l="1"/>
  <c r="Y5" i="1"/>
  <c r="P5" i="1"/>
  <c r="I8" i="1"/>
  <c r="AA8" i="1" s="1"/>
  <c r="M15" i="1"/>
  <c r="C14" i="1"/>
  <c r="C15" i="1"/>
  <c r="C4" i="1"/>
  <c r="C5" i="1" s="1"/>
  <c r="D21" i="1"/>
  <c r="D19" i="1" l="1"/>
  <c r="D24" i="1" s="1"/>
  <c r="C8" i="1"/>
  <c r="C9" i="1" s="1"/>
  <c r="C12" i="1" s="1"/>
  <c r="I10" i="1" l="1"/>
  <c r="I11" i="1" s="1"/>
  <c r="F3" i="1"/>
  <c r="F4" i="1" s="1"/>
  <c r="AA10" i="1"/>
  <c r="C11" i="1"/>
  <c r="C16" i="1"/>
  <c r="K18" i="1" s="1"/>
  <c r="K19" i="1" l="1"/>
  <c r="K24" i="1" s="1"/>
  <c r="AA17" i="1"/>
  <c r="M16" i="1"/>
</calcChain>
</file>

<file path=xl/sharedStrings.xml><?xml version="1.0" encoding="utf-8"?>
<sst xmlns="http://schemas.openxmlformats.org/spreadsheetml/2006/main" count="51" uniqueCount="42">
  <si>
    <t>Comissão</t>
  </si>
  <si>
    <t>Total</t>
  </si>
  <si>
    <t>sobra</t>
  </si>
  <si>
    <t>Retorno</t>
  </si>
  <si>
    <t>Aquisição</t>
  </si>
  <si>
    <t>Taxa</t>
  </si>
  <si>
    <t>meses</t>
  </si>
  <si>
    <t>Parcela 0</t>
  </si>
  <si>
    <t>Lance contemplação</t>
  </si>
  <si>
    <t>Parcela 1</t>
  </si>
  <si>
    <t>Parcela 2</t>
  </si>
  <si>
    <t>Parcela 3</t>
  </si>
  <si>
    <t>Parcela 4</t>
  </si>
  <si>
    <t>Parcela 5</t>
  </si>
  <si>
    <t>Investimento total</t>
  </si>
  <si>
    <t>Total parcelas</t>
  </si>
  <si>
    <t>Parcela após contemplar</t>
  </si>
  <si>
    <t>Parcelas restantes</t>
  </si>
  <si>
    <t>Nova parcela (após diluir)</t>
  </si>
  <si>
    <t>Crédito</t>
  </si>
  <si>
    <t>Taxa adm</t>
  </si>
  <si>
    <t>Crédito + Taxa adm</t>
  </si>
  <si>
    <t>%pago</t>
  </si>
  <si>
    <t>Saldo devedor</t>
  </si>
  <si>
    <t xml:space="preserve"> </t>
  </si>
  <si>
    <t>Saldo devedor extrato</t>
  </si>
  <si>
    <t>diferença</t>
  </si>
  <si>
    <t>Sobra</t>
  </si>
  <si>
    <t>PCOMPRA</t>
  </si>
  <si>
    <t>Lance embutido</t>
  </si>
  <si>
    <t>Novo crédito</t>
  </si>
  <si>
    <t>Novo saldo devedor</t>
  </si>
  <si>
    <t>Lance</t>
  </si>
  <si>
    <t>Lance histórico</t>
  </si>
  <si>
    <t>Lance com margem</t>
  </si>
  <si>
    <t>Atingir Lance</t>
  </si>
  <si>
    <t>Prazo de resgate</t>
  </si>
  <si>
    <t>Rentabilidade de correção</t>
  </si>
  <si>
    <t>ao mês</t>
  </si>
  <si>
    <t>Crédito corrigido</t>
  </si>
  <si>
    <t>Taxa de transferência</t>
  </si>
  <si>
    <t>Aquisição da 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</si>
</sst>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000%"/>
    <numFmt numFmtId="167" formatCode="0.000000%"/>
    <numFmt numFmtId="168" formatCode="0.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806000"/>
      <name val="Calibri"/>
      <family val="2"/>
    </font>
    <font>
      <sz val="11"/>
      <color theme="1"/>
      <name val="Calibri"/>
      <family val="2"/>
    </font>
    <font>
      <sz val="22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9"/>
      <color theme="7" tint="-0.499984740745262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u val="singleAccounting"/>
      <sz val="11"/>
      <color theme="7" tint="-0.499984740745262"/>
      <name val="Aptos Narrow"/>
      <family val="2"/>
      <scheme val="minor"/>
    </font>
    <font>
      <sz val="11"/>
      <color rgb="FF00000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5" fillId="2" borderId="0" xfId="0" applyFont="1" applyFill="1"/>
    <xf numFmtId="43" fontId="15" fillId="2" borderId="0" xfId="0" applyNumberFormat="1" applyFont="1" applyFill="1"/>
    <xf numFmtId="10" fontId="0" fillId="2" borderId="0" xfId="0" applyNumberFormat="1" applyFill="1" applyAlignment="1">
      <alignment horizontal="center"/>
    </xf>
    <xf numFmtId="0" fontId="16" fillId="11" borderId="0" xfId="0" applyFont="1" applyFill="1"/>
    <xf numFmtId="43" fontId="16" fillId="11" borderId="0" xfId="0" applyNumberFormat="1" applyFont="1" applyFill="1"/>
    <xf numFmtId="0" fontId="0" fillId="2" borderId="0" xfId="0" applyFill="1"/>
    <xf numFmtId="0" fontId="10" fillId="2" borderId="0" xfId="0" applyFont="1" applyFill="1"/>
    <xf numFmtId="0" fontId="16" fillId="12" borderId="0" xfId="0" applyFont="1" applyFill="1"/>
    <xf numFmtId="43" fontId="16" fillId="12" borderId="0" xfId="0" applyNumberFormat="1" applyFont="1" applyFill="1"/>
    <xf numFmtId="0" fontId="16" fillId="13" borderId="0" xfId="0" applyFont="1" applyFill="1"/>
    <xf numFmtId="43" fontId="17" fillId="8" borderId="0" xfId="0" applyNumberFormat="1" applyFont="1" applyFill="1"/>
    <xf numFmtId="0" fontId="18" fillId="2" borderId="0" xfId="0" applyFont="1" applyFill="1"/>
    <xf numFmtId="43" fontId="18" fillId="2" borderId="0" xfId="0" applyNumberFormat="1" applyFont="1" applyFill="1"/>
    <xf numFmtId="0" fontId="17" fillId="14" borderId="2" xfId="0" applyFont="1" applyFill="1" applyBorder="1" applyAlignment="1">
      <alignment horizontal="center"/>
    </xf>
    <xf numFmtId="43" fontId="17" fillId="14" borderId="1" xfId="0" applyNumberFormat="1" applyFont="1" applyFill="1" applyBorder="1"/>
    <xf numFmtId="0" fontId="20" fillId="2" borderId="0" xfId="0" applyFont="1" applyFill="1"/>
    <xf numFmtId="0" fontId="19" fillId="2" borderId="0" xfId="0" applyFont="1" applyFill="1"/>
    <xf numFmtId="43" fontId="19" fillId="2" borderId="0" xfId="0" applyNumberFormat="1" applyFont="1" applyFill="1"/>
    <xf numFmtId="9" fontId="15" fillId="8" borderId="0" xfId="0" applyNumberFormat="1" applyFont="1" applyFill="1"/>
    <xf numFmtId="43" fontId="16" fillId="11" borderId="0" xfId="3" applyFont="1" applyFill="1"/>
    <xf numFmtId="168" fontId="20" fillId="8" borderId="0" xfId="0" applyNumberFormat="1" applyFont="1" applyFill="1" applyAlignment="1">
      <alignment horizontal="center"/>
    </xf>
    <xf numFmtId="168" fontId="20" fillId="2" borderId="0" xfId="0" applyNumberFormat="1" applyFont="1" applyFill="1" applyAlignment="1">
      <alignment horizontal="center"/>
    </xf>
    <xf numFmtId="43" fontId="20" fillId="8" borderId="0" xfId="3" applyFont="1" applyFill="1"/>
    <xf numFmtId="43" fontId="22" fillId="2" borderId="0" xfId="0" applyNumberFormat="1" applyFont="1" applyFill="1"/>
    <xf numFmtId="43" fontId="15" fillId="8" borderId="0" xfId="3" applyFont="1" applyFill="1" applyAlignment="1"/>
    <xf numFmtId="43" fontId="15" fillId="2" borderId="0" xfId="3" applyFont="1" applyFill="1" applyAlignment="1"/>
    <xf numFmtId="43" fontId="20" fillId="2" borderId="0" xfId="3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43" fontId="19" fillId="2" borderId="0" xfId="3" applyFont="1" applyFill="1" applyAlignment="1"/>
    <xf numFmtId="0" fontId="5" fillId="2" borderId="0" xfId="0" applyFont="1" applyFill="1"/>
    <xf numFmtId="43" fontId="2" fillId="2" borderId="0" xfId="0" applyNumberFormat="1" applyFont="1" applyFill="1" applyAlignment="1">
      <alignment vertical="center"/>
    </xf>
    <xf numFmtId="167" fontId="0" fillId="8" borderId="0" xfId="0" applyNumberFormat="1" applyFill="1" applyAlignment="1">
      <alignment vertical="center"/>
    </xf>
    <xf numFmtId="43" fontId="15" fillId="2" borderId="0" xfId="0" applyNumberFormat="1" applyFont="1" applyFill="1" applyAlignment="1">
      <alignment vertical="center"/>
    </xf>
    <xf numFmtId="0" fontId="2" fillId="2" borderId="4" xfId="0" applyFont="1" applyFill="1" applyBorder="1" applyAlignment="1">
      <alignment horizontal="left"/>
    </xf>
    <xf numFmtId="10" fontId="2" fillId="2" borderId="4" xfId="0" applyNumberFormat="1" applyFont="1" applyFill="1" applyBorder="1" applyAlignment="1">
      <alignment horizontal="left"/>
    </xf>
    <xf numFmtId="9" fontId="23" fillId="8" borderId="0" xfId="1" applyFont="1" applyFill="1" applyBorder="1" applyAlignment="1" applyProtection="1">
      <alignment horizontal="center" vertical="center"/>
      <protection locked="0"/>
    </xf>
    <xf numFmtId="44" fontId="5" fillId="8" borderId="13" xfId="4" applyFont="1" applyFill="1" applyBorder="1" applyAlignment="1">
      <alignment horizontal="center" vertical="center"/>
    </xf>
    <xf numFmtId="44" fontId="5" fillId="8" borderId="14" xfId="4" applyFont="1" applyFill="1" applyBorder="1" applyAlignment="1">
      <alignment horizontal="center" vertical="center"/>
    </xf>
    <xf numFmtId="44" fontId="5" fillId="8" borderId="15" xfId="4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164" fontId="21" fillId="15" borderId="0" xfId="1" applyNumberFormat="1" applyFont="1" applyFill="1" applyBorder="1" applyAlignment="1" applyProtection="1">
      <alignment horizontal="center" vertical="center"/>
      <protection locked="0"/>
    </xf>
    <xf numFmtId="164" fontId="6" fillId="7" borderId="5" xfId="0" applyNumberFormat="1" applyFont="1" applyFill="1" applyBorder="1" applyAlignment="1">
      <alignment horizontal="center"/>
    </xf>
    <xf numFmtId="164" fontId="6" fillId="7" borderId="11" xfId="0" applyNumberFormat="1" applyFont="1" applyFill="1" applyBorder="1" applyAlignment="1">
      <alignment horizontal="center"/>
    </xf>
    <xf numFmtId="164" fontId="6" fillId="7" borderId="6" xfId="0" applyNumberFormat="1" applyFont="1" applyFill="1" applyBorder="1" applyAlignment="1">
      <alignment horizontal="center"/>
    </xf>
    <xf numFmtId="164" fontId="7" fillId="6" borderId="0" xfId="3" applyNumberFormat="1" applyFont="1" applyFill="1" applyBorder="1" applyAlignment="1">
      <alignment horizontal="center"/>
    </xf>
    <xf numFmtId="164" fontId="7" fillId="6" borderId="3" xfId="3" applyNumberFormat="1" applyFont="1" applyFill="1" applyBorder="1" applyAlignment="1">
      <alignment horizontal="center"/>
    </xf>
    <xf numFmtId="164" fontId="8" fillId="2" borderId="3" xfId="0" applyNumberFormat="1" applyFont="1" applyFill="1" applyBorder="1" applyAlignment="1">
      <alignment horizontal="center"/>
    </xf>
    <xf numFmtId="0" fontId="20" fillId="15" borderId="1" xfId="0" applyFont="1" applyFill="1" applyBorder="1" applyAlignment="1">
      <alignment horizontal="center"/>
    </xf>
    <xf numFmtId="44" fontId="20" fillId="16" borderId="1" xfId="4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/>
    </xf>
    <xf numFmtId="10" fontId="6" fillId="5" borderId="8" xfId="0" applyNumberFormat="1" applyFont="1" applyFill="1" applyBorder="1" applyAlignment="1">
      <alignment horizontal="center"/>
    </xf>
    <xf numFmtId="10" fontId="6" fillId="5" borderId="9" xfId="0" applyNumberFormat="1" applyFont="1" applyFill="1" applyBorder="1" applyAlignment="1">
      <alignment horizontal="center"/>
    </xf>
    <xf numFmtId="10" fontId="6" fillId="5" borderId="10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4" xfId="0" applyNumberFormat="1" applyFont="1" applyFill="1" applyBorder="1" applyAlignment="1">
      <alignment horizontal="center"/>
    </xf>
    <xf numFmtId="10" fontId="2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4" xfId="0" applyNumberFormat="1" applyFont="1" applyFill="1" applyBorder="1" applyAlignment="1">
      <alignment horizontal="left" vertical="center"/>
    </xf>
    <xf numFmtId="10" fontId="2" fillId="2" borderId="0" xfId="0" applyNumberFormat="1" applyFont="1" applyFill="1" applyAlignment="1">
      <alignment horizontal="left" vertical="center"/>
    </xf>
    <xf numFmtId="43" fontId="4" fillId="4" borderId="5" xfId="0" applyNumberFormat="1" applyFont="1" applyFill="1" applyBorder="1" applyAlignment="1">
      <alignment horizontal="center"/>
    </xf>
    <xf numFmtId="43" fontId="4" fillId="4" borderId="11" xfId="0" applyNumberFormat="1" applyFont="1" applyFill="1" applyBorder="1" applyAlignment="1">
      <alignment horizontal="center"/>
    </xf>
    <xf numFmtId="43" fontId="4" fillId="4" borderId="6" xfId="0" applyNumberFormat="1" applyFont="1" applyFill="1" applyBorder="1" applyAlignment="1">
      <alignment horizontal="center"/>
    </xf>
    <xf numFmtId="0" fontId="10" fillId="17" borderId="0" xfId="0" applyFont="1" applyFill="1" applyAlignment="1">
      <alignment horizontal="center"/>
    </xf>
    <xf numFmtId="43" fontId="19" fillId="10" borderId="0" xfId="3" applyFont="1" applyFill="1" applyAlignment="1">
      <alignment horizontal="center" vertical="center"/>
    </xf>
    <xf numFmtId="0" fontId="20" fillId="10" borderId="0" xfId="0" applyFont="1" applyFill="1" applyAlignment="1">
      <alignment horizontal="left"/>
    </xf>
    <xf numFmtId="10" fontId="10" fillId="8" borderId="0" xfId="0" applyNumberFormat="1" applyFont="1" applyFill="1" applyAlignment="1">
      <alignment horizontal="center" vertical="center"/>
    </xf>
    <xf numFmtId="43" fontId="16" fillId="11" borderId="0" xfId="3" applyFont="1" applyFill="1" applyAlignment="1">
      <alignment horizontal="center" vertical="center"/>
    </xf>
    <xf numFmtId="43" fontId="16" fillId="12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/>
    </xf>
    <xf numFmtId="0" fontId="5" fillId="9" borderId="0" xfId="0" applyFont="1" applyFill="1" applyAlignment="1">
      <alignment horizontal="left"/>
    </xf>
    <xf numFmtId="0" fontId="12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4" borderId="3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13" fillId="10" borderId="0" xfId="0" applyFont="1" applyFill="1" applyAlignment="1">
      <alignment horizontal="center"/>
    </xf>
    <xf numFmtId="0" fontId="13" fillId="10" borderId="12" xfId="0" applyFont="1" applyFill="1" applyBorder="1" applyAlignment="1">
      <alignment horizontal="center"/>
    </xf>
    <xf numFmtId="43" fontId="5" fillId="2" borderId="4" xfId="3" applyFont="1" applyFill="1" applyBorder="1" applyAlignment="1">
      <alignment horizontal="center"/>
    </xf>
    <xf numFmtId="43" fontId="5" fillId="2" borderId="0" xfId="3" applyFont="1" applyFill="1" applyBorder="1" applyAlignment="1">
      <alignment horizontal="center"/>
    </xf>
    <xf numFmtId="43" fontId="5" fillId="2" borderId="3" xfId="3" applyFont="1" applyFill="1" applyBorder="1" applyAlignment="1">
      <alignment horizontal="center"/>
    </xf>
    <xf numFmtId="43" fontId="24" fillId="2" borderId="4" xfId="3" applyFont="1" applyFill="1" applyBorder="1" applyAlignment="1">
      <alignment horizontal="center"/>
    </xf>
    <xf numFmtId="43" fontId="24" fillId="2" borderId="0" xfId="3" applyFont="1" applyFill="1" applyBorder="1" applyAlignment="1">
      <alignment horizontal="center"/>
    </xf>
    <xf numFmtId="43" fontId="24" fillId="2" borderId="3" xfId="3" applyFont="1" applyFill="1" applyBorder="1" applyAlignment="1">
      <alignment horizontal="center"/>
    </xf>
    <xf numFmtId="43" fontId="14" fillId="10" borderId="0" xfId="0" applyNumberFormat="1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3" fontId="2" fillId="2" borderId="7" xfId="0" applyNumberFormat="1" applyFont="1" applyFill="1" applyBorder="1" applyAlignment="1">
      <alignment horizontal="center" vertical="center"/>
    </xf>
    <xf numFmtId="10" fontId="4" fillId="3" borderId="8" xfId="0" applyNumberFormat="1" applyFont="1" applyFill="1" applyBorder="1" applyAlignment="1">
      <alignment horizontal="center"/>
    </xf>
    <xf numFmtId="10" fontId="4" fillId="3" borderId="9" xfId="0" applyNumberFormat="1" applyFont="1" applyFill="1" applyBorder="1" applyAlignment="1">
      <alignment horizontal="center"/>
    </xf>
    <xf numFmtId="10" fontId="4" fillId="3" borderId="10" xfId="0" applyNumberFormat="1" applyFont="1" applyFill="1" applyBorder="1" applyAlignment="1">
      <alignment horizontal="center"/>
    </xf>
    <xf numFmtId="43" fontId="5" fillId="8" borderId="4" xfId="3" applyFont="1" applyFill="1" applyBorder="1" applyAlignment="1">
      <alignment horizontal="center"/>
    </xf>
    <xf numFmtId="43" fontId="5" fillId="8" borderId="0" xfId="3" applyFont="1" applyFill="1" applyBorder="1" applyAlignment="1">
      <alignment horizontal="center"/>
    </xf>
    <xf numFmtId="43" fontId="5" fillId="8" borderId="3" xfId="3" applyFont="1" applyFill="1" applyBorder="1" applyAlignment="1">
      <alignment horizontal="center"/>
    </xf>
    <xf numFmtId="165" fontId="21" fillId="2" borderId="0" xfId="1" applyNumberFormat="1" applyFont="1" applyFill="1" applyBorder="1" applyAlignment="1">
      <alignment horizontal="center" vertical="center"/>
    </xf>
    <xf numFmtId="167" fontId="0" fillId="2" borderId="0" xfId="0" applyNumberFormat="1" applyFill="1" applyAlignment="1">
      <alignment vertical="center"/>
    </xf>
    <xf numFmtId="9" fontId="15" fillId="2" borderId="0" xfId="0" applyNumberFormat="1" applyFont="1" applyFill="1"/>
    <xf numFmtId="43" fontId="20" fillId="2" borderId="0" xfId="3" applyFont="1" applyFill="1"/>
    <xf numFmtId="0" fontId="12" fillId="8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/>
    </xf>
    <xf numFmtId="0" fontId="13" fillId="10" borderId="16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center"/>
    </xf>
    <xf numFmtId="0" fontId="13" fillId="8" borderId="18" xfId="0" applyFont="1" applyFill="1" applyBorder="1" applyAlignment="1">
      <alignment horizontal="center"/>
    </xf>
    <xf numFmtId="164" fontId="21" fillId="2" borderId="0" xfId="0" applyNumberFormat="1" applyFont="1" applyFill="1" applyAlignment="1">
      <alignment horizontal="center" vertical="center"/>
    </xf>
    <xf numFmtId="44" fontId="5" fillId="8" borderId="8" xfId="4" applyFont="1" applyFill="1" applyBorder="1" applyAlignment="1">
      <alignment horizontal="center" vertical="center"/>
    </xf>
    <xf numFmtId="44" fontId="5" fillId="8" borderId="9" xfId="4" applyFont="1" applyFill="1" applyBorder="1" applyAlignment="1">
      <alignment horizontal="center" vertical="center"/>
    </xf>
    <xf numFmtId="44" fontId="5" fillId="8" borderId="10" xfId="4" applyFont="1" applyFill="1" applyBorder="1" applyAlignment="1">
      <alignment horizontal="center" vertical="center"/>
    </xf>
    <xf numFmtId="11" fontId="2" fillId="2" borderId="0" xfId="0" applyNumberFormat="1" applyFont="1" applyFill="1" applyAlignment="1">
      <alignment horizontal="center" vertical="center"/>
    </xf>
    <xf numFmtId="43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1" fillId="15" borderId="4" xfId="3" applyNumberFormat="1" applyFont="1" applyFill="1" applyBorder="1" applyAlignment="1"/>
    <xf numFmtId="4" fontId="21" fillId="15" borderId="0" xfId="3" applyNumberFormat="1" applyFont="1" applyFill="1" applyBorder="1" applyAlignment="1"/>
    <xf numFmtId="4" fontId="21" fillId="15" borderId="3" xfId="3" applyNumberFormat="1" applyFont="1" applyFill="1" applyBorder="1" applyAlignment="1"/>
    <xf numFmtId="0" fontId="10" fillId="8" borderId="0" xfId="0" applyFont="1" applyFill="1" applyAlignment="1">
      <alignment horizontal="center"/>
    </xf>
  </cellXfs>
  <cellStyles count="5">
    <cellStyle name="Moeda" xfId="4" builtinId="4"/>
    <cellStyle name="Normal" xfId="0" builtinId="0"/>
    <cellStyle name="Normal 2" xfId="2" xr:uid="{D096C8FB-6BC0-4283-B185-A6512F4F00AC}"/>
    <cellStyle name="Porcentagem" xfId="1" builtinId="5"/>
    <cellStyle name="Vírgula" xfId="3" builtinId="3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06/relationships/vbaProject" Target="vbaProject.bin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66337</xdr:colOff>
          <xdr:row>0</xdr:row>
          <xdr:rowOff>35859</xdr:rowOff>
        </xdr:from>
        <xdr:to>
          <xdr:col>4</xdr:col>
          <xdr:colOff>170330</xdr:colOff>
          <xdr:row>2</xdr:row>
          <xdr:rowOff>107577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CALCULAR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694315</xdr:colOff>
          <xdr:row>5</xdr:row>
          <xdr:rowOff>87854</xdr:rowOff>
        </xdr:from>
        <xdr:to>
          <xdr:col>2</xdr:col>
          <xdr:colOff>80681</xdr:colOff>
          <xdr:row>7</xdr:row>
          <xdr:rowOff>134470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CALCULAR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277905</xdr:colOff>
          <xdr:row>18</xdr:row>
          <xdr:rowOff>107576</xdr:rowOff>
        </xdr:from>
        <xdr:to>
          <xdr:col>2</xdr:col>
          <xdr:colOff>1030940</xdr:colOff>
          <xdr:row>20</xdr:row>
          <xdr:rowOff>26894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QUITAR</a:t>
              </a:r>
            </a:p>
            <a:p>
              <a:pPr algn="ctr" rtl="0">
                <a:defRPr sz="1000"/>
              </a:pPr>
              <a:endParaRPr lang="pt-BR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249666</xdr:colOff>
          <xdr:row>21</xdr:row>
          <xdr:rowOff>153297</xdr:rowOff>
        </xdr:from>
        <xdr:to>
          <xdr:col>2</xdr:col>
          <xdr:colOff>1048869</xdr:colOff>
          <xdr:row>23</xdr:row>
          <xdr:rowOff>98613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ATINGIR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76DA-A2E9-4FA8-AA4D-5633707473D0}">
  <sheetPr codeName="Planilha1">
    <pageSetUpPr fitToPage="1"/>
  </sheetPr>
  <dimension ref="B1:AO29"/>
  <sheetViews>
    <sheetView tabSelected="1" zoomScale="85" zoomScaleNormal="85" workbookViewId="0">
      <selection activeCell="AP16" sqref="AP16"/>
    </sheetView>
  </sheetViews>
  <sheetFormatPr defaultColWidth="9.109375" defaultRowHeight="13.8" x14ac:dyDescent="0.3"/>
  <cols>
    <col min="1" max="1" width="4.6640625" style="1" customWidth="1"/>
    <col min="2" max="2" width="21.6640625" style="1" customWidth="1"/>
    <col min="3" max="3" width="19" style="1" customWidth="1"/>
    <col min="4" max="4" width="11.77734375" style="1" customWidth="1"/>
    <col min="5" max="6" width="3.5546875" style="1" customWidth="1"/>
    <col min="7" max="7" width="4.109375" style="1" customWidth="1"/>
    <col min="8" max="9" width="3.5546875" style="1" customWidth="1"/>
    <col min="10" max="10" width="5" style="1" customWidth="1"/>
    <col min="11" max="11" width="3" style="1" customWidth="1"/>
    <col min="12" max="12" width="3.88671875" style="1" customWidth="1"/>
    <col min="13" max="13" width="1.77734375" style="1" customWidth="1"/>
    <col min="14" max="14" width="1.21875" style="1" customWidth="1"/>
    <col min="15" max="15" width="2.6640625" style="1" customWidth="1"/>
    <col min="16" max="16" width="3.21875" style="1" customWidth="1"/>
    <col min="17" max="17" width="2.109375" style="1" customWidth="1"/>
    <col min="18" max="18" width="2.44140625" style="1" customWidth="1"/>
    <col min="19" max="19" width="3" style="1" customWidth="1"/>
    <col min="20" max="20" width="2.109375" style="1" customWidth="1"/>
    <col min="21" max="21" width="3.5546875" style="1" customWidth="1"/>
    <col min="22" max="22" width="5" style="1" customWidth="1"/>
    <col min="23" max="23" width="0.6640625" style="1" customWidth="1"/>
    <col min="24" max="24" width="3" style="1" customWidth="1"/>
    <col min="25" max="25" width="3.44140625" style="1" customWidth="1"/>
    <col min="26" max="26" width="3" style="1" customWidth="1"/>
    <col min="27" max="27" width="2.109375" style="1" customWidth="1"/>
    <col min="28" max="29" width="3" style="1" customWidth="1"/>
    <col min="30" max="30" width="2.5546875" style="1" customWidth="1"/>
    <col min="31" max="31" width="3.21875" style="1" customWidth="1"/>
    <col min="32" max="32" width="3" style="1" customWidth="1"/>
    <col min="33" max="33" width="5.6640625" style="1" customWidth="1"/>
    <col min="34" max="35" width="3.44140625" style="1" customWidth="1"/>
    <col min="36" max="36" width="3.77734375" style="1" customWidth="1"/>
    <col min="37" max="40" width="2.5546875" style="1" customWidth="1"/>
    <col min="41" max="41" width="3.33203125" style="1" customWidth="1"/>
    <col min="42" max="16384" width="9.109375" style="1"/>
  </cols>
  <sheetData>
    <row r="1" spans="2:41" ht="10.8" customHeight="1" thickBot="1" x14ac:dyDescent="0.35"/>
    <row r="2" spans="2:41" ht="14.4" x14ac:dyDescent="0.3">
      <c r="B2" s="117">
        <v>3.6852795301624E+121</v>
      </c>
      <c r="F2" s="51" t="s">
        <v>28</v>
      </c>
      <c r="G2" s="51"/>
      <c r="H2" s="51"/>
      <c r="I2" s="51"/>
      <c r="J2" s="39">
        <v>0.15</v>
      </c>
      <c r="K2" s="39"/>
      <c r="L2" s="119" t="s">
        <v>5</v>
      </c>
      <c r="M2" s="119"/>
      <c r="N2" s="119"/>
      <c r="P2" s="54">
        <v>0.11</v>
      </c>
      <c r="Q2" s="55"/>
      <c r="R2" s="55"/>
      <c r="S2" s="55"/>
      <c r="T2" s="55"/>
      <c r="U2" s="55"/>
      <c r="V2" s="55"/>
      <c r="W2" s="56"/>
      <c r="Y2" s="54">
        <v>0.12</v>
      </c>
      <c r="Z2" s="55"/>
      <c r="AA2" s="55"/>
      <c r="AB2" s="55"/>
      <c r="AC2" s="55"/>
      <c r="AD2" s="55"/>
      <c r="AE2" s="56"/>
      <c r="AG2" s="54">
        <v>0.13</v>
      </c>
      <c r="AH2" s="55"/>
      <c r="AI2" s="55"/>
      <c r="AJ2" s="55"/>
      <c r="AK2" s="55"/>
      <c r="AL2" s="56"/>
    </row>
    <row r="3" spans="2:41" ht="12.6" customHeight="1" x14ac:dyDescent="0.3">
      <c r="B3" s="19" t="s">
        <v>19</v>
      </c>
      <c r="C3" s="27">
        <v>90814.3</v>
      </c>
      <c r="D3" s="28"/>
      <c r="E3" s="28"/>
      <c r="F3" s="52">
        <f>C12-J3</f>
        <v>27192.15500000001</v>
      </c>
      <c r="G3" s="52"/>
      <c r="H3" s="52"/>
      <c r="I3" s="52"/>
      <c r="J3" s="95">
        <f>C3*J2</f>
        <v>13622.145</v>
      </c>
      <c r="K3" s="118"/>
      <c r="L3" s="118"/>
      <c r="M3" s="118"/>
      <c r="N3" s="118"/>
      <c r="P3" s="62" t="s">
        <v>2</v>
      </c>
      <c r="Q3" s="63"/>
      <c r="R3" s="63"/>
      <c r="S3" s="48">
        <f>(C3-C10)</f>
        <v>40814.300000000003</v>
      </c>
      <c r="T3" s="48"/>
      <c r="U3" s="48"/>
      <c r="V3" s="48"/>
      <c r="W3" s="49"/>
      <c r="Y3" s="57" t="s">
        <v>2</v>
      </c>
      <c r="Z3" s="58"/>
      <c r="AA3" s="48">
        <f>(C3-C10)</f>
        <v>40814.300000000003</v>
      </c>
      <c r="AB3" s="48"/>
      <c r="AC3" s="48"/>
      <c r="AD3" s="48"/>
      <c r="AE3" s="49"/>
      <c r="AG3" s="37" t="s">
        <v>2</v>
      </c>
      <c r="AH3" s="48">
        <f>(C3-C10)</f>
        <v>40814.300000000003</v>
      </c>
      <c r="AI3" s="48"/>
      <c r="AJ3" s="48"/>
      <c r="AK3" s="48"/>
      <c r="AL3" s="49"/>
    </row>
    <row r="4" spans="2:41" ht="15.6" customHeight="1" x14ac:dyDescent="0.3">
      <c r="B4" s="3" t="s">
        <v>20</v>
      </c>
      <c r="C4" s="4">
        <f>C3*D4</f>
        <v>3631.48</v>
      </c>
      <c r="D4" s="5">
        <v>3.9987975462014241E-2</v>
      </c>
      <c r="E4" s="5"/>
      <c r="F4" s="53">
        <f>C12/F3</f>
        <v>1.5009586404608239</v>
      </c>
      <c r="G4" s="53"/>
      <c r="H4" s="53"/>
      <c r="I4" s="53"/>
      <c r="P4" s="64" t="s">
        <v>5</v>
      </c>
      <c r="Q4" s="65"/>
      <c r="R4" s="65"/>
      <c r="S4" s="61">
        <f>C3*P2</f>
        <v>9989.5730000000003</v>
      </c>
      <c r="T4" s="61"/>
      <c r="U4" s="61"/>
      <c r="V4" s="61"/>
      <c r="W4" s="50"/>
      <c r="Y4" s="59" t="s">
        <v>5</v>
      </c>
      <c r="Z4" s="60"/>
      <c r="AA4" s="50">
        <f>C3*Y2</f>
        <v>10897.716</v>
      </c>
      <c r="AB4" s="50"/>
      <c r="AC4" s="50"/>
      <c r="AD4" s="50"/>
      <c r="AE4" s="50"/>
      <c r="AG4" s="38" t="s">
        <v>5</v>
      </c>
      <c r="AH4" s="50">
        <f>C3*AG2</f>
        <v>11805.859</v>
      </c>
      <c r="AI4" s="50"/>
      <c r="AJ4" s="50"/>
      <c r="AK4" s="50"/>
      <c r="AL4" s="50"/>
    </row>
    <row r="5" spans="2:41" ht="17.399999999999999" customHeight="1" thickBot="1" x14ac:dyDescent="0.35">
      <c r="B5" s="6" t="s">
        <v>21</v>
      </c>
      <c r="C5" s="7">
        <f>+C3+C4</f>
        <v>94445.78</v>
      </c>
      <c r="D5" s="8"/>
      <c r="E5" s="8"/>
      <c r="P5" s="45">
        <f>S3-S4</f>
        <v>30824.727000000003</v>
      </c>
      <c r="Q5" s="46"/>
      <c r="R5" s="46"/>
      <c r="S5" s="46"/>
      <c r="T5" s="46"/>
      <c r="U5" s="46"/>
      <c r="V5" s="46"/>
      <c r="W5" s="47"/>
      <c r="Y5" s="45">
        <f>AA3-AA4</f>
        <v>29916.584000000003</v>
      </c>
      <c r="Z5" s="46"/>
      <c r="AA5" s="46"/>
      <c r="AB5" s="46"/>
      <c r="AC5" s="46"/>
      <c r="AD5" s="46"/>
      <c r="AE5" s="47"/>
      <c r="AG5" s="45">
        <f>AH3-AH4</f>
        <v>29008.441000000003</v>
      </c>
      <c r="AH5" s="46"/>
      <c r="AI5" s="46"/>
      <c r="AJ5" s="46"/>
      <c r="AK5" s="46"/>
      <c r="AL5" s="47"/>
    </row>
    <row r="6" spans="2:41" ht="15" customHeight="1" thickBot="1" x14ac:dyDescent="0.35">
      <c r="B6" s="9"/>
      <c r="C6" s="9"/>
      <c r="D6" s="9"/>
      <c r="E6" s="9"/>
      <c r="F6" s="43" t="s">
        <v>4</v>
      </c>
      <c r="G6" s="43"/>
      <c r="H6" s="43"/>
      <c r="I6" s="114">
        <v>25000</v>
      </c>
      <c r="J6" s="115"/>
      <c r="K6" s="115"/>
      <c r="L6" s="115"/>
      <c r="M6" s="115"/>
      <c r="N6" s="116"/>
    </row>
    <row r="7" spans="2:41" ht="15" customHeight="1" thickBot="1" x14ac:dyDescent="0.6">
      <c r="B7" s="8"/>
      <c r="C7" s="8"/>
      <c r="D7" s="8"/>
      <c r="E7" s="8"/>
      <c r="F7" s="43" t="s">
        <v>0</v>
      </c>
      <c r="G7" s="43"/>
      <c r="H7" s="43"/>
      <c r="I7" s="40"/>
      <c r="J7" s="41"/>
      <c r="K7" s="41"/>
      <c r="L7" s="41"/>
      <c r="M7" s="41"/>
      <c r="N7" s="42"/>
      <c r="U7" s="2"/>
      <c r="X7" s="93" t="s">
        <v>6</v>
      </c>
      <c r="Y7" s="93"/>
      <c r="Z7" s="94"/>
      <c r="AA7" s="96"/>
      <c r="AB7" s="97"/>
      <c r="AC7" s="97"/>
      <c r="AD7" s="97"/>
      <c r="AE7" s="98"/>
      <c r="AK7" s="33"/>
      <c r="AM7" s="34"/>
      <c r="AN7" s="34"/>
      <c r="AO7" s="34"/>
    </row>
    <row r="8" spans="2:41" ht="15.75" customHeight="1" x14ac:dyDescent="0.3">
      <c r="B8" s="19" t="s">
        <v>22</v>
      </c>
      <c r="C8" s="36">
        <f>+C5*D8</f>
        <v>44445.780000000006</v>
      </c>
      <c r="D8" s="35">
        <v>0.47059572169344155</v>
      </c>
      <c r="E8" s="103"/>
      <c r="F8" s="43" t="s">
        <v>1</v>
      </c>
      <c r="G8" s="43"/>
      <c r="H8" s="43"/>
      <c r="I8" s="44">
        <f>I6+I7</f>
        <v>25000</v>
      </c>
      <c r="J8" s="44"/>
      <c r="K8" s="44"/>
      <c r="L8" s="44"/>
      <c r="M8" s="44"/>
      <c r="N8" s="44"/>
      <c r="Q8" s="43" t="s">
        <v>41</v>
      </c>
      <c r="R8" s="43"/>
      <c r="S8" s="43"/>
      <c r="T8" s="43"/>
      <c r="U8" s="43"/>
      <c r="V8" s="43"/>
      <c r="W8" s="43"/>
      <c r="X8" s="75">
        <v>7</v>
      </c>
      <c r="Y8" s="75"/>
      <c r="Z8" s="106"/>
      <c r="AA8" s="120">
        <f>I8</f>
        <v>25000</v>
      </c>
      <c r="AB8" s="121"/>
      <c r="AC8" s="121"/>
      <c r="AD8" s="121"/>
      <c r="AE8" s="122"/>
    </row>
    <row r="9" spans="2:41" ht="16.2" customHeight="1" x14ac:dyDescent="0.3">
      <c r="B9" s="10" t="s">
        <v>23</v>
      </c>
      <c r="C9" s="11">
        <f>+C5-C8</f>
        <v>49999.999999999993</v>
      </c>
      <c r="D9" t="s">
        <v>24</v>
      </c>
      <c r="E9" s="8"/>
      <c r="F9" s="30"/>
      <c r="G9" s="30"/>
      <c r="H9" s="30"/>
      <c r="I9" s="31"/>
      <c r="J9" s="31"/>
      <c r="K9" s="31"/>
      <c r="Q9" s="43" t="s">
        <v>7</v>
      </c>
      <c r="R9" s="43"/>
      <c r="S9" s="43"/>
      <c r="T9" s="43"/>
      <c r="U9" s="43"/>
      <c r="V9" s="43"/>
      <c r="W9" s="43"/>
      <c r="X9" s="75">
        <v>7</v>
      </c>
      <c r="Y9" s="75"/>
      <c r="Z9" s="106"/>
      <c r="AA9" s="99">
        <v>1527.12</v>
      </c>
      <c r="AB9" s="100"/>
      <c r="AC9" s="100"/>
      <c r="AD9" s="100"/>
      <c r="AE9" s="101"/>
    </row>
    <row r="10" spans="2:41" ht="15.75" customHeight="1" x14ac:dyDescent="0.3">
      <c r="B10" s="12" t="s">
        <v>25</v>
      </c>
      <c r="C10" s="13">
        <v>50000</v>
      </c>
      <c r="D10" s="4"/>
      <c r="E10" s="4"/>
      <c r="F10" s="43" t="s">
        <v>3</v>
      </c>
      <c r="G10" s="43"/>
      <c r="H10" s="43"/>
      <c r="I10" s="113">
        <f>C12-I8</f>
        <v>15814.30000000001</v>
      </c>
      <c r="J10" s="113"/>
      <c r="K10" s="113"/>
      <c r="L10" s="113"/>
      <c r="M10" s="113"/>
      <c r="Q10" s="78" t="s">
        <v>8</v>
      </c>
      <c r="R10" s="78"/>
      <c r="S10" s="78"/>
      <c r="T10" s="78"/>
      <c r="U10" s="78"/>
      <c r="V10" s="78"/>
      <c r="W10" s="78"/>
      <c r="X10" s="79">
        <v>7</v>
      </c>
      <c r="Y10" s="79"/>
      <c r="Z10" s="107"/>
      <c r="AA10" s="85">
        <f>+D19</f>
        <v>60000.000000000007</v>
      </c>
      <c r="AB10" s="86"/>
      <c r="AC10" s="86"/>
      <c r="AD10" s="86"/>
      <c r="AE10" s="87"/>
    </row>
    <row r="11" spans="2:41" ht="18" customHeight="1" x14ac:dyDescent="0.3">
      <c r="B11" s="14" t="s">
        <v>26</v>
      </c>
      <c r="C11" s="15">
        <f>+C9-C10</f>
        <v>0</v>
      </c>
      <c r="D11" s="8"/>
      <c r="E11" s="8"/>
      <c r="I11" s="102">
        <f>I10/C3</f>
        <v>0.17413887460455027</v>
      </c>
      <c r="J11" s="102"/>
      <c r="K11" s="102"/>
      <c r="L11" s="102"/>
      <c r="M11" s="102"/>
      <c r="Q11" s="43" t="s">
        <v>9</v>
      </c>
      <c r="R11" s="43"/>
      <c r="S11" s="43"/>
      <c r="T11" s="43"/>
      <c r="U11" s="43"/>
      <c r="V11" s="43"/>
      <c r="W11" s="43"/>
      <c r="X11" s="75">
        <v>5</v>
      </c>
      <c r="Y11" s="75"/>
      <c r="Z11" s="106"/>
      <c r="AA11" s="85">
        <v>0</v>
      </c>
      <c r="AB11" s="86"/>
      <c r="AC11" s="86"/>
      <c r="AD11" s="86"/>
      <c r="AE11" s="87"/>
    </row>
    <row r="12" spans="2:41" ht="15.75" customHeight="1" x14ac:dyDescent="0.3">
      <c r="B12" s="16" t="s">
        <v>27</v>
      </c>
      <c r="C12" s="17">
        <f>C3-C9</f>
        <v>40814.30000000001</v>
      </c>
      <c r="D12" s="9"/>
      <c r="E12" s="9"/>
      <c r="Q12" s="43" t="s">
        <v>10</v>
      </c>
      <c r="R12" s="43"/>
      <c r="S12" s="43"/>
      <c r="T12" s="43"/>
      <c r="U12" s="43"/>
      <c r="V12" s="43"/>
      <c r="W12" s="43"/>
      <c r="X12" s="75">
        <v>4</v>
      </c>
      <c r="Y12" s="75"/>
      <c r="Z12" s="106"/>
      <c r="AA12" s="85">
        <v>0</v>
      </c>
      <c r="AB12" s="86"/>
      <c r="AC12" s="86"/>
      <c r="AD12" s="86"/>
      <c r="AE12" s="87"/>
    </row>
    <row r="13" spans="2:41" ht="19.5" customHeight="1" x14ac:dyDescent="0.45">
      <c r="B13" s="9"/>
      <c r="C13" s="9"/>
      <c r="D13" s="9"/>
      <c r="E13" s="9"/>
      <c r="F13" s="83" t="s">
        <v>15</v>
      </c>
      <c r="G13" s="83"/>
      <c r="H13" s="83"/>
      <c r="I13" s="83"/>
      <c r="J13" s="83"/>
      <c r="K13" s="83"/>
      <c r="L13" s="84"/>
      <c r="M13" s="110">
        <v>200</v>
      </c>
      <c r="N13" s="111"/>
      <c r="O13" s="111"/>
      <c r="P13" s="112"/>
      <c r="Q13" s="82" t="s">
        <v>11</v>
      </c>
      <c r="R13" s="108"/>
      <c r="S13" s="108"/>
      <c r="T13" s="108"/>
      <c r="U13" s="108"/>
      <c r="V13" s="108"/>
      <c r="W13" s="108"/>
      <c r="X13" s="75">
        <v>3</v>
      </c>
      <c r="Y13" s="75"/>
      <c r="Z13" s="106"/>
      <c r="AA13" s="88">
        <v>0</v>
      </c>
      <c r="AB13" s="89"/>
      <c r="AC13" s="89"/>
      <c r="AD13" s="89"/>
      <c r="AE13" s="90"/>
    </row>
    <row r="14" spans="2:41" ht="20.25" customHeight="1" x14ac:dyDescent="0.3">
      <c r="B14" s="19" t="s">
        <v>29</v>
      </c>
      <c r="C14" s="20">
        <f>D14*C3</f>
        <v>0</v>
      </c>
      <c r="D14" s="21">
        <v>0</v>
      </c>
      <c r="E14" s="104"/>
      <c r="F14" s="83" t="s">
        <v>16</v>
      </c>
      <c r="G14" s="83"/>
      <c r="H14" s="83"/>
      <c r="I14" s="83"/>
      <c r="J14" s="83"/>
      <c r="K14" s="83"/>
      <c r="L14" s="84"/>
      <c r="M14" s="110">
        <v>72</v>
      </c>
      <c r="N14" s="111"/>
      <c r="O14" s="111"/>
      <c r="P14" s="112"/>
      <c r="Q14" s="82" t="s">
        <v>12</v>
      </c>
      <c r="R14" s="108"/>
      <c r="S14" s="108"/>
      <c r="T14" s="108"/>
      <c r="U14" s="108"/>
      <c r="V14" s="108"/>
      <c r="W14" s="108"/>
      <c r="X14" s="75">
        <v>2</v>
      </c>
      <c r="Y14" s="75"/>
      <c r="Z14" s="106"/>
      <c r="AA14" s="85">
        <v>0</v>
      </c>
      <c r="AB14" s="86"/>
      <c r="AC14" s="86"/>
      <c r="AD14" s="86"/>
      <c r="AE14" s="87"/>
    </row>
    <row r="15" spans="2:41" ht="18" customHeight="1" x14ac:dyDescent="0.3">
      <c r="B15" s="6" t="s">
        <v>30</v>
      </c>
      <c r="C15" s="22">
        <f>C3*(1-D14)</f>
        <v>90814.3</v>
      </c>
      <c r="D15" s="8"/>
      <c r="E15" s="8"/>
      <c r="F15" s="83" t="s">
        <v>17</v>
      </c>
      <c r="G15" s="83"/>
      <c r="H15" s="83"/>
      <c r="I15" s="83"/>
      <c r="J15" s="83"/>
      <c r="K15" s="83"/>
      <c r="L15" s="83"/>
      <c r="M15" s="109">
        <f>+M13-M14</f>
        <v>128</v>
      </c>
      <c r="N15" s="109"/>
      <c r="O15" s="109"/>
      <c r="P15" s="109"/>
      <c r="Q15" s="43" t="s">
        <v>13</v>
      </c>
      <c r="R15" s="43"/>
      <c r="S15" s="43"/>
      <c r="T15" s="43"/>
      <c r="U15" s="43"/>
      <c r="V15" s="43"/>
      <c r="W15" s="43"/>
      <c r="X15" s="75">
        <v>1</v>
      </c>
      <c r="Y15" s="75"/>
      <c r="Z15" s="106"/>
      <c r="AA15" s="85">
        <v>0</v>
      </c>
      <c r="AB15" s="86"/>
      <c r="AC15" s="86"/>
      <c r="AD15" s="86"/>
      <c r="AE15" s="87"/>
    </row>
    <row r="16" spans="2:41" ht="18" customHeight="1" x14ac:dyDescent="0.3">
      <c r="B16" s="10" t="s">
        <v>31</v>
      </c>
      <c r="C16" s="11">
        <f>C9-C14</f>
        <v>49999.999999999993</v>
      </c>
      <c r="D16" s="8"/>
      <c r="E16" s="8"/>
      <c r="F16" s="92" t="s">
        <v>18</v>
      </c>
      <c r="G16" s="92"/>
      <c r="H16" s="92"/>
      <c r="I16" s="92"/>
      <c r="J16" s="92"/>
      <c r="K16" s="92"/>
      <c r="L16" s="92"/>
      <c r="M16" s="91">
        <f>(C16-AA9-AA11-AA10)/M15</f>
        <v>-90.055625000000134</v>
      </c>
      <c r="N16" s="91"/>
      <c r="O16" s="91"/>
      <c r="P16" s="91"/>
      <c r="Q16" s="43" t="s">
        <v>40</v>
      </c>
      <c r="R16" s="43"/>
      <c r="S16" s="43"/>
      <c r="T16" s="43"/>
      <c r="U16" s="43"/>
      <c r="V16" s="43"/>
      <c r="W16" s="43"/>
      <c r="X16" s="75">
        <v>0</v>
      </c>
      <c r="Y16" s="75"/>
      <c r="Z16" s="106"/>
      <c r="AA16" s="85">
        <v>0</v>
      </c>
      <c r="AB16" s="86"/>
      <c r="AC16" s="86"/>
      <c r="AD16" s="86"/>
      <c r="AE16" s="87"/>
    </row>
    <row r="17" spans="2:31" ht="15" thickBot="1" x14ac:dyDescent="0.35">
      <c r="Q17" s="80" t="s">
        <v>14</v>
      </c>
      <c r="R17" s="80"/>
      <c r="S17" s="80"/>
      <c r="T17" s="80"/>
      <c r="U17" s="80"/>
      <c r="V17" s="80"/>
      <c r="W17" s="80"/>
      <c r="X17" s="80"/>
      <c r="Y17" s="80"/>
      <c r="Z17" s="81"/>
      <c r="AA17" s="66">
        <f>SUM(AA8:AA16)</f>
        <v>86527.12000000001</v>
      </c>
      <c r="AB17" s="67"/>
      <c r="AC17" s="67"/>
      <c r="AD17" s="67"/>
      <c r="AE17" s="68"/>
    </row>
    <row r="18" spans="2:31" ht="15.75" customHeight="1" x14ac:dyDescent="0.3">
      <c r="B18" s="9"/>
      <c r="D18" s="9"/>
      <c r="E18" s="9"/>
      <c r="F18" s="76" t="s">
        <v>30</v>
      </c>
      <c r="G18" s="76"/>
      <c r="H18" s="76"/>
      <c r="I18" s="76"/>
      <c r="J18" s="76"/>
      <c r="K18" s="73">
        <f>IF(C16=T19,C15,C15-T19)</f>
        <v>90814.3</v>
      </c>
      <c r="L18" s="73"/>
      <c r="M18" s="73"/>
      <c r="N18" s="73"/>
      <c r="O18" s="73"/>
    </row>
    <row r="19" spans="2:31" ht="15" customHeight="1" x14ac:dyDescent="0.3">
      <c r="B19" s="18" t="s">
        <v>32</v>
      </c>
      <c r="D19" s="29">
        <f>IF(D20=0,0,D21*C5)</f>
        <v>60000.000000000007</v>
      </c>
      <c r="E19" s="29"/>
      <c r="F19" s="77" t="s">
        <v>31</v>
      </c>
      <c r="G19" s="77"/>
      <c r="H19" s="77"/>
      <c r="I19" s="77"/>
      <c r="J19" s="77"/>
      <c r="K19" s="74">
        <f>C16-AA9-AA10-AA11-AA12-AA13-AA15-AA14-AA16</f>
        <v>-11527.120000000017</v>
      </c>
      <c r="L19" s="74"/>
      <c r="M19" s="74"/>
      <c r="N19" s="74"/>
      <c r="O19" s="74"/>
    </row>
    <row r="20" spans="2:31" ht="16.2" customHeight="1" x14ac:dyDescent="0.3">
      <c r="B20" s="18" t="s">
        <v>33</v>
      </c>
      <c r="D20" s="23">
        <v>0.61528513396787032</v>
      </c>
      <c r="E20" s="24"/>
      <c r="F20" s="69" t="s">
        <v>24</v>
      </c>
      <c r="G20" s="69"/>
      <c r="H20" s="69"/>
      <c r="I20" s="69"/>
      <c r="J20" s="9"/>
      <c r="K20" s="9"/>
    </row>
    <row r="21" spans="2:31" ht="15.75" customHeight="1" x14ac:dyDescent="0.3">
      <c r="B21" s="18" t="s">
        <v>34</v>
      </c>
      <c r="D21" s="24">
        <f>D20+2%</f>
        <v>0.63528513396787034</v>
      </c>
      <c r="E21" s="24"/>
      <c r="F21" s="9"/>
      <c r="G21" s="9"/>
      <c r="H21" s="9"/>
      <c r="I21" s="9"/>
      <c r="J21" s="9"/>
      <c r="K21" s="9"/>
    </row>
    <row r="22" spans="2:31" ht="13.8" customHeight="1" x14ac:dyDescent="0.3">
      <c r="B22" s="9"/>
      <c r="D22" s="9"/>
      <c r="E22" s="9"/>
      <c r="F22" s="9" t="s">
        <v>36</v>
      </c>
      <c r="G22" s="9"/>
      <c r="H22" s="9"/>
      <c r="I22" s="9"/>
      <c r="O22" s="123">
        <v>6</v>
      </c>
      <c r="P22" s="123"/>
      <c r="Q22" s="123"/>
      <c r="R22" s="9" t="s">
        <v>6</v>
      </c>
    </row>
    <row r="23" spans="2:31" ht="18" customHeight="1" x14ac:dyDescent="0.3">
      <c r="B23" s="18" t="s">
        <v>35</v>
      </c>
      <c r="D23" s="25">
        <v>60000</v>
      </c>
      <c r="E23" s="105"/>
      <c r="F23" s="9" t="s">
        <v>37</v>
      </c>
      <c r="G23" s="9"/>
      <c r="H23" s="9"/>
      <c r="I23" s="9"/>
      <c r="O23" s="72">
        <v>0.01</v>
      </c>
      <c r="P23" s="72"/>
      <c r="Q23" s="72"/>
      <c r="R23" s="9" t="s">
        <v>38</v>
      </c>
    </row>
    <row r="24" spans="2:31" ht="15.6" customHeight="1" x14ac:dyDescent="0.3">
      <c r="D24" s="26">
        <f>D19-D23</f>
        <v>0</v>
      </c>
      <c r="E24" s="26"/>
      <c r="F24" s="71" t="s">
        <v>39</v>
      </c>
      <c r="G24" s="71"/>
      <c r="H24" s="71"/>
      <c r="I24" s="71"/>
      <c r="J24" s="71"/>
      <c r="K24" s="70">
        <f>(C15*(1+O23)^O22)-K19</f>
        <v>107928.32941272442</v>
      </c>
      <c r="L24" s="70"/>
      <c r="M24" s="70"/>
      <c r="N24" s="70"/>
      <c r="O24" s="70"/>
      <c r="P24" s="70"/>
      <c r="Q24" s="70"/>
      <c r="R24" s="32"/>
    </row>
    <row r="25" spans="2:31" ht="21" customHeight="1" x14ac:dyDescent="0.3"/>
    <row r="27" spans="2:31" ht="12.6" customHeight="1" x14ac:dyDescent="0.3"/>
    <row r="28" spans="2:31" ht="10.8" customHeight="1" x14ac:dyDescent="0.3"/>
    <row r="29" spans="2:31" ht="15" customHeight="1" x14ac:dyDescent="0.3"/>
  </sheetData>
  <protectedRanges>
    <protectedRange algorithmName="SHA-512" hashValue="5z0n3gIKulzeuT7WPFE23VF1lnIEd1DJjBO259VKwwsneiNFUjT+kA22a2FTOfX5/mNG7/Vumyr6kLPWECxwLw==" saltValue="EwGAKtlH0wHa5MNm/T1cHA==" spinCount="100000" sqref="I8" name="Intervalo1"/>
    <protectedRange algorithmName="SHA-512" hashValue="5z0n3gIKulzeuT7WPFE23VF1lnIEd1DJjBO259VKwwsneiNFUjT+kA22a2FTOfX5/mNG7/Vumyr6kLPWECxwLw==" saltValue="EwGAKtlH0wHa5MNm/T1cHA==" spinCount="100000" sqref="J2" name="Intervalo1_1"/>
  </protectedRanges>
  <mergeCells count="79">
    <mergeCell ref="M13:P13"/>
    <mergeCell ref="X7:Z7"/>
    <mergeCell ref="F8:H8"/>
    <mergeCell ref="F7:H7"/>
    <mergeCell ref="AA7:AE7"/>
    <mergeCell ref="AA8:AE8"/>
    <mergeCell ref="AA9:AE9"/>
    <mergeCell ref="AA10:AE10"/>
    <mergeCell ref="F10:H10"/>
    <mergeCell ref="AG2:AL2"/>
    <mergeCell ref="F13:L13"/>
    <mergeCell ref="Q15:W15"/>
    <mergeCell ref="Q16:W16"/>
    <mergeCell ref="AA11:AE11"/>
    <mergeCell ref="AA12:AE12"/>
    <mergeCell ref="AA13:AE13"/>
    <mergeCell ref="AA14:AE14"/>
    <mergeCell ref="AA15:AE15"/>
    <mergeCell ref="X12:Z12"/>
    <mergeCell ref="AA16:AE16"/>
    <mergeCell ref="M15:P15"/>
    <mergeCell ref="M16:P16"/>
    <mergeCell ref="F16:L16"/>
    <mergeCell ref="F15:L15"/>
    <mergeCell ref="F14:L14"/>
    <mergeCell ref="M14:P14"/>
    <mergeCell ref="Q17:Z17"/>
    <mergeCell ref="Q11:W11"/>
    <mergeCell ref="Q12:W12"/>
    <mergeCell ref="Q13:W13"/>
    <mergeCell ref="Q14:W14"/>
    <mergeCell ref="X14:Z14"/>
    <mergeCell ref="X15:Z15"/>
    <mergeCell ref="X16:Z16"/>
    <mergeCell ref="X9:Z9"/>
    <mergeCell ref="X10:Z10"/>
    <mergeCell ref="X11:Z11"/>
    <mergeCell ref="AA17:AE17"/>
    <mergeCell ref="Q8:W8"/>
    <mergeCell ref="F20:I20"/>
    <mergeCell ref="K24:Q24"/>
    <mergeCell ref="F24:J24"/>
    <mergeCell ref="O23:Q23"/>
    <mergeCell ref="O22:Q22"/>
    <mergeCell ref="K18:O18"/>
    <mergeCell ref="K19:O19"/>
    <mergeCell ref="X8:Z8"/>
    <mergeCell ref="F18:J18"/>
    <mergeCell ref="F19:J19"/>
    <mergeCell ref="Q10:W10"/>
    <mergeCell ref="Q9:W9"/>
    <mergeCell ref="X13:Z13"/>
    <mergeCell ref="P2:W2"/>
    <mergeCell ref="Y5:AE5"/>
    <mergeCell ref="AA4:AE4"/>
    <mergeCell ref="AA3:AE3"/>
    <mergeCell ref="Y2:AE2"/>
    <mergeCell ref="Y3:Z3"/>
    <mergeCell ref="Y4:Z4"/>
    <mergeCell ref="S4:W4"/>
    <mergeCell ref="S3:W3"/>
    <mergeCell ref="P3:R3"/>
    <mergeCell ref="P4:R4"/>
    <mergeCell ref="P5:W5"/>
    <mergeCell ref="AG5:AL5"/>
    <mergeCell ref="AH3:AL3"/>
    <mergeCell ref="AH4:AL4"/>
    <mergeCell ref="F2:I2"/>
    <mergeCell ref="F3:I3"/>
    <mergeCell ref="F4:I4"/>
    <mergeCell ref="I10:M10"/>
    <mergeCell ref="I11:M11"/>
    <mergeCell ref="I8:N8"/>
    <mergeCell ref="I6:N6"/>
    <mergeCell ref="I7:N7"/>
    <mergeCell ref="J2:K2"/>
    <mergeCell ref="F6:H6"/>
    <mergeCell ref="J3:N3"/>
    <mergeCell ref="L2:N2"/>
  </mergeCells>
  <conditionalFormatting sqref="U7">
    <cfRule type="cellIs" dxfId="0" priority="1" operator="equal">
      <formula>"ERRO"</formula>
    </cfRule>
  </conditionalFormatting>
  <pageMargins left="0.25" right="0.25" top="0.75" bottom="0.75" header="0.3" footer="0.3"/>
  <pageSetup paperSize="9" scale="46" orientation="landscape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ajusta_taxa">
                <anchor moveWithCells="1" sizeWithCells="1">
                  <from>
                    <xdr:col>3</xdr:col>
                    <xdr:colOff>68580</xdr:colOff>
                    <xdr:row>0</xdr:row>
                    <xdr:rowOff>38100</xdr:rowOff>
                  </from>
                  <to>
                    <xdr:col>4</xdr:col>
                    <xdr:colOff>167640</xdr:colOff>
                    <xdr:row>2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ajusta_pago">
                <anchor moveWithCells="1" sizeWithCells="1">
                  <from>
                    <xdr:col>1</xdr:col>
                    <xdr:colOff>693420</xdr:colOff>
                    <xdr:row>5</xdr:row>
                    <xdr:rowOff>91440</xdr:rowOff>
                  </from>
                  <to>
                    <xdr:col>2</xdr:col>
                    <xdr:colOff>83820</xdr:colOff>
                    <xdr:row>7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quitar">
                <anchor moveWithCells="1" sizeWithCells="1">
                  <from>
                    <xdr:col>2</xdr:col>
                    <xdr:colOff>274320</xdr:colOff>
                    <xdr:row>18</xdr:row>
                    <xdr:rowOff>106680</xdr:rowOff>
                  </from>
                  <to>
                    <xdr:col>2</xdr:col>
                    <xdr:colOff>1028700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utton 5">
              <controlPr defaultSize="0" print="0" autoFill="0" autoPict="0" macro="[0]!atingir_lance">
                <anchor moveWithCells="1" sizeWithCells="1">
                  <from>
                    <xdr:col>2</xdr:col>
                    <xdr:colOff>251460</xdr:colOff>
                    <xdr:row>21</xdr:row>
                    <xdr:rowOff>152400</xdr:rowOff>
                  </from>
                  <to>
                    <xdr:col>2</xdr:col>
                    <xdr:colOff>1051560</xdr:colOff>
                    <xdr:row>23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5BA08-C2E2-4786-8B6F-7FD98A6D78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costa</dc:creator>
  <cp:lastModifiedBy>marcelo alba</cp:lastModifiedBy>
  <cp:lastPrinted>2024-10-31T20:13:03Z</cp:lastPrinted>
  <dcterms:created xsi:type="dcterms:W3CDTF">2024-05-03T18:22:35Z</dcterms:created>
  <dcterms:modified xsi:type="dcterms:W3CDTF">2026-09-01T14:25:43Z</dcterms:modified>
</cp:coreProperties>
</file>